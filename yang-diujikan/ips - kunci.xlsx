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ester PKBM\yang-diujikan\"/>
    </mc:Choice>
  </mc:AlternateContent>
  <xr:revisionPtr revIDLastSave="0" documentId="13_ncr:1_{5DC0D435-9FD1-4429-8F31-5F79E0F2D10A}" xr6:coauthVersionLast="45" xr6:coauthVersionMax="45" xr10:uidLastSave="{00000000-0000-0000-0000-000000000000}"/>
  <bookViews>
    <workbookView xWindow="-120" yWindow="-120" windowWidth="37710" windowHeight="21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2" i="1" l="1"/>
  <c r="C52" i="1"/>
  <c r="B52" i="1"/>
  <c r="E50" i="1"/>
  <c r="E49" i="1"/>
  <c r="E48" i="1"/>
  <c r="E47" i="1"/>
  <c r="E46" i="1"/>
  <c r="E52" i="1" l="1"/>
  <c r="E55" i="1" s="1"/>
  <c r="K39" i="1" l="1"/>
  <c r="K38" i="1"/>
  <c r="K37" i="1"/>
  <c r="L37" i="1" s="1"/>
  <c r="K36" i="1"/>
  <c r="L36" i="1" s="1"/>
  <c r="K35" i="1"/>
  <c r="K34" i="1"/>
  <c r="K33" i="1"/>
  <c r="L33" i="1" s="1"/>
  <c r="K32" i="1"/>
  <c r="L32" i="1" s="1"/>
  <c r="K31" i="1"/>
  <c r="K30" i="1"/>
  <c r="H39" i="1"/>
  <c r="I39" i="1" s="1"/>
  <c r="H38" i="1"/>
  <c r="I38" i="1" s="1"/>
  <c r="H37" i="1"/>
  <c r="H36" i="1"/>
  <c r="H35" i="1"/>
  <c r="I35" i="1" s="1"/>
  <c r="H34" i="1"/>
  <c r="I34" i="1" s="1"/>
  <c r="H33" i="1"/>
  <c r="H32" i="1"/>
  <c r="H31" i="1"/>
  <c r="I31" i="1" s="1"/>
  <c r="H30" i="1"/>
  <c r="I30" i="1" s="1"/>
  <c r="E39" i="1"/>
  <c r="E38" i="1"/>
  <c r="E37" i="1"/>
  <c r="F37" i="1" s="1"/>
  <c r="E36" i="1"/>
  <c r="F36" i="1" s="1"/>
  <c r="E35" i="1"/>
  <c r="F35" i="1" s="1"/>
  <c r="E34" i="1"/>
  <c r="F34" i="1" s="1"/>
  <c r="E33" i="1"/>
  <c r="E32" i="1"/>
  <c r="F32" i="1" s="1"/>
  <c r="E31" i="1"/>
  <c r="E30" i="1"/>
  <c r="F30" i="1" s="1"/>
  <c r="L39" i="1"/>
  <c r="L38" i="1"/>
  <c r="L35" i="1"/>
  <c r="L34" i="1"/>
  <c r="L31" i="1"/>
  <c r="L30" i="1"/>
  <c r="I37" i="1"/>
  <c r="I36" i="1"/>
  <c r="I33" i="1"/>
  <c r="I32" i="1"/>
  <c r="F39" i="1"/>
  <c r="F38" i="1"/>
  <c r="F33" i="1"/>
  <c r="F31" i="1"/>
  <c r="B39" i="1"/>
  <c r="C39" i="1" s="1"/>
  <c r="B38" i="1"/>
  <c r="C38" i="1" s="1"/>
  <c r="B37" i="1"/>
  <c r="B36" i="1"/>
  <c r="C36" i="1" s="1"/>
  <c r="B35" i="1"/>
  <c r="C35" i="1" s="1"/>
  <c r="B34" i="1"/>
  <c r="C34" i="1" s="1"/>
  <c r="B33" i="1"/>
  <c r="C33" i="1" s="1"/>
  <c r="B32" i="1"/>
  <c r="C32" i="1" s="1"/>
  <c r="B31" i="1"/>
  <c r="C31" i="1" s="1"/>
  <c r="C37" i="1"/>
  <c r="B30" i="1"/>
  <c r="C30" i="1" s="1"/>
</calcChain>
</file>

<file path=xl/sharedStrings.xml><?xml version="1.0" encoding="utf-8"?>
<sst xmlns="http://schemas.openxmlformats.org/spreadsheetml/2006/main" count="140" uniqueCount="83">
  <si>
    <t>NO</t>
  </si>
  <si>
    <t>KUNCI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</si>
  <si>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</si>
  <si>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</si>
  <si>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</si>
  <si>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</si>
  <si>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</si>
  <si>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</si>
  <si>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</si>
  <si>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</si>
  <si>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</si>
  <si>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</si>
  <si>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</si>
  <si>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</si>
  <si>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</si>
  <si>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</si>
  <si>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</si>
  <si>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</si>
  <si>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</si>
  <si>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</si>
  <si>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</si>
  <si>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</si>
  <si>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</si>
  <si>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</si>
  <si>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</si>
  <si>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</si>
  <si>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</si>
  <si>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</si>
  <si>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</si>
  <si>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</si>
  <si>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</si>
  <si>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</si>
  <si>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</si>
  <si>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</si>
  <si>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</si>
  <si>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</si>
  <si>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</si>
  <si>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</si>
  <si>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</si>
  <si>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</si>
  <si>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</si>
  <si>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</si>
  <si>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JUMLAH JAWABAN BENAR</t>
  </si>
  <si>
    <t>JUMLAH SKOR MAKSIMAL</t>
  </si>
  <si>
    <t>x 100%</t>
  </si>
  <si>
    <t>RUMUS PENSKORAN PILIHAN GANDA</t>
  </si>
  <si>
    <t>SKOR</t>
  </si>
  <si>
    <t>NILAI</t>
  </si>
  <si>
    <t>SKOR MAKSIMAL ADALAH 40</t>
  </si>
  <si>
    <t>N 60%</t>
  </si>
  <si>
    <t>SKOR MAKSIMAL</t>
  </si>
  <si>
    <t>BOBOT</t>
  </si>
  <si>
    <t>PERHITUNGAN SKOR</t>
  </si>
  <si>
    <t>JUMLAH</t>
  </si>
  <si>
    <t>jika 40% dari soal uraian maka</t>
  </si>
  <si>
    <t>PENSKORAN UNTUK SOAL URAIAN</t>
  </si>
  <si>
    <t>SKOR YANG DIPEROLEH x 40%</t>
  </si>
  <si>
    <t>skor perolehan</t>
  </si>
  <si>
    <t>skor maksimal</t>
  </si>
  <si>
    <t>Rumus =</t>
  </si>
  <si>
    <t>Nilai akhir Uraiaan =</t>
  </si>
  <si>
    <t>X Bobot soal</t>
  </si>
  <si>
    <t>Jumlah perhitungan skor X 40%</t>
  </si>
  <si>
    <t>JADI NILAI AKHIR =  NILAI PG (60%) + NILAI URAIAN (40%)</t>
  </si>
  <si>
    <t>B</t>
  </si>
  <si>
    <t>C</t>
  </si>
  <si>
    <t>A</t>
  </si>
  <si>
    <t>D</t>
  </si>
  <si>
    <t>KUNCI JAWABAN DAN PEDOMAN PENSKORAN SOAL UTAMA</t>
  </si>
  <si>
    <t>ILMU PENGETAHUAN SOSIAL (IPS)</t>
  </si>
  <si>
    <t>APLIKASI PENSKORAN UNTUK SOAL URAIAN</t>
  </si>
  <si>
    <t>SKOR  *) PEROLEHAN</t>
  </si>
  <si>
    <t>*) Masukan skor perolehan siswa (lihat lembar Rubrik Penilaian) pada kolom skor perolehan.</t>
  </si>
  <si>
    <t>Tabel 1 : Kunci Jawaban PG</t>
  </si>
  <si>
    <t>BENTUK  SOAL</t>
  </si>
  <si>
    <t>JUMLAH SOAL</t>
  </si>
  <si>
    <t xml:space="preserve"> BOBOT TES</t>
  </si>
  <si>
    <t>Pilihan Ganda</t>
  </si>
  <si>
    <t>Uraian</t>
  </si>
  <si>
    <t>Tabel 1 : Perbandingan Bobot Penilaian</t>
  </si>
  <si>
    <t>Tabel 3 : Nilai Pilahan Ganda X 60%</t>
  </si>
  <si>
    <t>UJIAN SEKOLAH (US)</t>
  </si>
  <si>
    <t>TAHUN PELAJARAN 20../20..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</si>
</sst>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8"/>
      <name val="Algerian"/>
      <family val="5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applyBorder="1"/>
    <xf numFmtId="2" fontId="4" fillId="0" borderId="2" xfId="0" applyNumberFormat="1" applyFont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2" fontId="5" fillId="2" borderId="7" xfId="0" applyNumberFormat="1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6" fillId="0" borderId="1" xfId="0" applyFont="1" applyBorder="1"/>
    <xf numFmtId="0" fontId="6" fillId="0" borderId="0" xfId="0" applyFont="1"/>
    <xf numFmtId="0" fontId="3" fillId="0" borderId="0" xfId="0" applyFont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12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0" borderId="2" xfId="0" applyFont="1" applyBorder="1" applyAlignment="1">
      <alignment horizontal="left" indent="1"/>
    </xf>
    <xf numFmtId="0" fontId="8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4" zoomScale="145" zoomScaleNormal="145" workbookViewId="0">
      <selection activeCell="B13" sqref="B13"/>
    </sheetView>
  </sheetViews>
  <sheetFormatPr defaultRowHeight="15" x14ac:dyDescent="0.25"/>
  <cols>
    <col min="1" max="1" width="5.5703125" customWidth="1"/>
    <col min="2" max="2" width="9.28515625" customWidth="1"/>
    <col min="3" max="3" width="11.28515625" customWidth="1"/>
    <col min="4" max="4" width="9.85546875" customWidth="1"/>
    <col min="5" max="5" width="11.7109375" customWidth="1"/>
    <col min="6" max="6" width="8.28515625" customWidth="1"/>
    <col min="7" max="7" width="7.5703125" customWidth="1"/>
    <col min="8" max="8" width="8.140625" customWidth="1"/>
    <col min="9" max="9" width="7.42578125" customWidth="1"/>
    <col min="10" max="10" width="7.140625" customWidth="1"/>
    <col min="11" max="11" width="11.5703125" customWidth="1"/>
    <col min="12" max="12" width="8.28515625" customWidth="1"/>
  </cols>
  <sheetData>
    <row r="1" spans="1:12" s="21" customFormat="1" ht="13.5" customHeight="1" x14ac:dyDescent="0.25">
      <c r="A1" s="40" t="s">
        <v>68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20"/>
    </row>
    <row r="2" spans="1:12" s="21" customFormat="1" ht="13.5" customHeight="1" x14ac:dyDescent="0.25">
      <c r="A2" s="40" t="s">
        <v>81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2"/>
    </row>
    <row r="3" spans="1:12" s="21" customFormat="1" ht="13.5" customHeight="1" x14ac:dyDescent="0.25">
      <c r="A3" s="40" t="s">
        <v>69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20"/>
    </row>
    <row r="4" spans="1:12" s="21" customFormat="1" ht="13.5" customHeight="1" x14ac:dyDescent="0.25">
      <c r="A4" s="40" t="s">
        <v>82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20"/>
    </row>
    <row r="5" spans="1:12" s="21" customFormat="1" ht="27.75" customHeight="1" x14ac:dyDescent="0.25">
      <c r="A5" s="29" t="s">
        <v>79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0"/>
    </row>
    <row r="6" spans="1:12" s="21" customFormat="1" ht="16.5" customHeight="1" x14ac:dyDescent="0.25">
      <c r="A6" s="34" t="s">
        <v>74</v>
      </c>
      <c r="B6" s="34"/>
      <c r="C6" s="34" t="s">
        <v>75</v>
      </c>
      <c r="D6" s="34"/>
      <c r="E6" s="34" t="s">
        <v>76</v>
      </c>
      <c r="F6" s="34"/>
      <c r="G6" s="26"/>
      <c r="H6" s="26"/>
      <c r="I6" s="26"/>
      <c r="J6" s="26"/>
      <c r="K6" s="26"/>
      <c r="L6" s="20"/>
    </row>
    <row r="7" spans="1:12" s="21" customFormat="1" ht="13.5" customHeight="1" x14ac:dyDescent="0.25">
      <c r="A7" s="35" t="s">
        <v>77</v>
      </c>
      <c r="B7" s="35"/>
      <c r="C7" s="36">
        <v>40</v>
      </c>
      <c r="D7" s="36"/>
      <c r="E7" s="36">
        <v>60</v>
      </c>
      <c r="F7" s="36"/>
      <c r="G7" s="26"/>
      <c r="H7" s="26"/>
      <c r="I7" s="26"/>
      <c r="J7" s="26"/>
      <c r="K7" s="26"/>
      <c r="L7" s="20"/>
    </row>
    <row r="8" spans="1:12" s="21" customFormat="1" ht="13.5" customHeight="1" x14ac:dyDescent="0.25">
      <c r="A8" s="35" t="s">
        <v>78</v>
      </c>
      <c r="B8" s="35"/>
      <c r="C8" s="36">
        <v>5</v>
      </c>
      <c r="D8" s="36"/>
      <c r="E8" s="36">
        <v>40</v>
      </c>
      <c r="F8" s="36"/>
      <c r="G8" s="26"/>
      <c r="H8" s="26"/>
      <c r="I8" s="26"/>
      <c r="J8" s="26"/>
      <c r="K8" s="26"/>
      <c r="L8" s="20"/>
    </row>
    <row r="9" spans="1:12" s="21" customFormat="1" ht="13.5" customHeight="1" x14ac:dyDescent="0.25">
      <c r="A9" s="40"/>
      <c r="B9" s="40"/>
      <c r="C9" s="40"/>
      <c r="D9" s="40"/>
      <c r="E9" s="40"/>
      <c r="F9" s="40"/>
      <c r="G9" s="40"/>
      <c r="H9" s="40"/>
      <c r="I9" s="40"/>
      <c r="J9" s="40"/>
      <c r="K9" s="40"/>
      <c r="L9" s="20"/>
    </row>
    <row r="10" spans="1:12" ht="15.75" x14ac:dyDescent="0.25">
      <c r="A10" s="15" t="s">
        <v>73</v>
      </c>
      <c r="H10" s="1"/>
    </row>
    <row r="11" spans="1:12" x14ac:dyDescent="0.25">
      <c r="A11" s="7" t="s">
        <v>0</v>
      </c>
      <c r="B11" s="24" t="s">
        <v>1</v>
      </c>
      <c r="C11" s="7" t="s">
        <v>0</v>
      </c>
      <c r="D11" s="24" t="s">
        <v>1</v>
      </c>
      <c r="E11" s="7" t="s">
        <v>0</v>
      </c>
      <c r="F11" s="24" t="s">
        <v>1</v>
      </c>
      <c r="G11" s="7" t="s">
        <v>0</v>
      </c>
      <c r="H11" s="24" t="s">
        <v>1</v>
      </c>
    </row>
    <row r="12" spans="1:12" ht="15.75" x14ac:dyDescent="0.25">
      <c r="A12" s="23" t="s">
        <v>2</v>
      </c>
      <c r="B12" s="30" t="s">
        <v>65</v>
      </c>
      <c r="C12" s="25" t="s">
        <v>12</v>
      </c>
      <c r="D12" s="30" t="s">
        <v>66</v>
      </c>
      <c r="E12" s="25" t="s">
        <v>22</v>
      </c>
      <c r="F12" s="30" t="s">
        <v>65</v>
      </c>
      <c r="G12" s="25" t="s">
        <v>32</v>
      </c>
      <c r="H12" s="30" t="s">
        <v>66</v>
      </c>
    </row>
    <row r="13" spans="1:12" ht="15.75" x14ac:dyDescent="0.25">
      <c r="A13" s="23" t="s">
        <v>3</v>
      </c>
      <c r="B13" s="30" t="s">
        <v>66</v>
      </c>
      <c r="C13" s="25" t="s">
        <v>13</v>
      </c>
      <c r="D13" s="30" t="s">
        <v>64</v>
      </c>
      <c r="E13" s="25" t="s">
        <v>23</v>
      </c>
      <c r="F13" s="30" t="s">
        <v>64</v>
      </c>
      <c r="G13" s="25" t="s">
        <v>33</v>
      </c>
      <c r="H13" s="30" t="s">
        <v>64</v>
      </c>
    </row>
    <row r="14" spans="1:12" ht="15.75" x14ac:dyDescent="0.25">
      <c r="A14" s="23" t="s">
        <v>4</v>
      </c>
      <c r="B14" s="30" t="s">
        <v>66</v>
      </c>
      <c r="C14" s="25" t="s">
        <v>14</v>
      </c>
      <c r="D14" s="30" t="s">
        <v>66</v>
      </c>
      <c r="E14" s="25" t="s">
        <v>24</v>
      </c>
      <c r="F14" s="30" t="s">
        <v>67</v>
      </c>
      <c r="G14" s="25" t="s">
        <v>34</v>
      </c>
      <c r="H14" s="30" t="s">
        <v>67</v>
      </c>
    </row>
    <row r="15" spans="1:12" ht="15.75" x14ac:dyDescent="0.25">
      <c r="A15" s="23" t="s">
        <v>5</v>
      </c>
      <c r="B15" s="30" t="s">
        <v>65</v>
      </c>
      <c r="C15" s="25" t="s">
        <v>15</v>
      </c>
      <c r="D15" s="30" t="s">
        <v>64</v>
      </c>
      <c r="E15" s="25" t="s">
        <v>25</v>
      </c>
      <c r="F15" s="30" t="s">
        <v>65</v>
      </c>
      <c r="G15" s="25" t="s">
        <v>35</v>
      </c>
      <c r="H15" s="30" t="s">
        <v>67</v>
      </c>
    </row>
    <row r="16" spans="1:12" ht="15.75" x14ac:dyDescent="0.25">
      <c r="A16" s="23" t="s">
        <v>6</v>
      </c>
      <c r="B16" s="30" t="s">
        <v>65</v>
      </c>
      <c r="C16" s="25" t="s">
        <v>16</v>
      </c>
      <c r="D16" s="30" t="s">
        <v>67</v>
      </c>
      <c r="E16" s="25" t="s">
        <v>26</v>
      </c>
      <c r="F16" s="30" t="s">
        <v>64</v>
      </c>
      <c r="G16" s="25" t="s">
        <v>36</v>
      </c>
      <c r="H16" s="30" t="s">
        <v>66</v>
      </c>
    </row>
    <row r="17" spans="1:12" ht="15.75" x14ac:dyDescent="0.25">
      <c r="A17" s="23" t="s">
        <v>7</v>
      </c>
      <c r="B17" s="30" t="s">
        <v>64</v>
      </c>
      <c r="C17" s="25" t="s">
        <v>17</v>
      </c>
      <c r="D17" s="30" t="s">
        <v>64</v>
      </c>
      <c r="E17" s="25" t="s">
        <v>27</v>
      </c>
      <c r="F17" s="30" t="s">
        <v>64</v>
      </c>
      <c r="G17" s="25" t="s">
        <v>37</v>
      </c>
      <c r="H17" s="30" t="s">
        <v>67</v>
      </c>
    </row>
    <row r="18" spans="1:12" ht="15.75" x14ac:dyDescent="0.25">
      <c r="A18" s="23" t="s">
        <v>8</v>
      </c>
      <c r="B18" s="30" t="s">
        <v>67</v>
      </c>
      <c r="C18" s="25" t="s">
        <v>18</v>
      </c>
      <c r="D18" s="30" t="s">
        <v>67</v>
      </c>
      <c r="E18" s="25" t="s">
        <v>28</v>
      </c>
      <c r="F18" s="30" t="s">
        <v>66</v>
      </c>
      <c r="G18" s="25" t="s">
        <v>38</v>
      </c>
      <c r="H18" s="30" t="s">
        <v>66</v>
      </c>
    </row>
    <row r="19" spans="1:12" ht="15.75" x14ac:dyDescent="0.25">
      <c r="A19" s="23" t="s">
        <v>9</v>
      </c>
      <c r="B19" s="30" t="s">
        <v>66</v>
      </c>
      <c r="C19" s="25" t="s">
        <v>19</v>
      </c>
      <c r="D19" s="30" t="s">
        <v>67</v>
      </c>
      <c r="E19" s="25" t="s">
        <v>29</v>
      </c>
      <c r="F19" s="30" t="s">
        <v>66</v>
      </c>
      <c r="G19" s="25" t="s">
        <v>39</v>
      </c>
      <c r="H19" s="30" t="s">
        <v>66</v>
      </c>
    </row>
    <row r="20" spans="1:12" ht="15.75" x14ac:dyDescent="0.25">
      <c r="A20" s="23" t="s">
        <v>10</v>
      </c>
      <c r="B20" s="30" t="s">
        <v>67</v>
      </c>
      <c r="C20" s="25" t="s">
        <v>20</v>
      </c>
      <c r="D20" s="30" t="s">
        <v>67</v>
      </c>
      <c r="E20" s="25" t="s">
        <v>30</v>
      </c>
      <c r="F20" s="30" t="s">
        <v>65</v>
      </c>
      <c r="G20" s="25" t="s">
        <v>40</v>
      </c>
      <c r="H20" s="30" t="s">
        <v>67</v>
      </c>
    </row>
    <row r="21" spans="1:12" ht="15.75" x14ac:dyDescent="0.25">
      <c r="A21" s="23" t="s">
        <v>11</v>
      </c>
      <c r="B21" s="30" t="s">
        <v>67</v>
      </c>
      <c r="C21" s="25" t="s">
        <v>21</v>
      </c>
      <c r="D21" s="30" t="s">
        <v>67</v>
      </c>
      <c r="E21" s="25" t="s">
        <v>31</v>
      </c>
      <c r="F21" s="30" t="s">
        <v>64</v>
      </c>
      <c r="G21" s="25" t="s">
        <v>41</v>
      </c>
      <c r="H21" s="30" t="s">
        <v>64</v>
      </c>
    </row>
    <row r="22" spans="1:12" ht="10.5" customHeight="1" x14ac:dyDescent="0.25"/>
    <row r="23" spans="1:12" ht="18.75" x14ac:dyDescent="0.3">
      <c r="A23" s="45" t="s">
        <v>45</v>
      </c>
      <c r="B23" s="45"/>
      <c r="C23" s="45"/>
      <c r="D23" s="45"/>
      <c r="E23" s="45"/>
      <c r="F23" s="45"/>
      <c r="G23" s="45"/>
      <c r="H23" s="45"/>
    </row>
    <row r="24" spans="1:12" ht="18.75" x14ac:dyDescent="0.3">
      <c r="A24" s="47" t="s">
        <v>48</v>
      </c>
      <c r="B24" s="47"/>
      <c r="C24" s="47"/>
      <c r="D24" s="47"/>
      <c r="E24" s="47"/>
      <c r="F24" s="47"/>
      <c r="G24" s="47"/>
      <c r="H24" s="47"/>
    </row>
    <row r="25" spans="1:12" x14ac:dyDescent="0.25">
      <c r="A25" s="16" t="s">
        <v>42</v>
      </c>
      <c r="B25" s="16"/>
      <c r="C25" s="16"/>
      <c r="D25" s="37" t="s">
        <v>44</v>
      </c>
    </row>
    <row r="26" spans="1:12" x14ac:dyDescent="0.25">
      <c r="A26" s="17" t="s">
        <v>43</v>
      </c>
      <c r="B26" s="17"/>
      <c r="C26" s="17"/>
      <c r="D26" s="37"/>
    </row>
    <row r="27" spans="1:12" ht="9.75" customHeight="1" x14ac:dyDescent="0.25">
      <c r="D27" s="2"/>
    </row>
    <row r="28" spans="1:12" ht="15.75" customHeight="1" x14ac:dyDescent="0.25">
      <c r="A28" s="15" t="s">
        <v>80</v>
      </c>
      <c r="B28" s="14"/>
      <c r="C28" s="14"/>
      <c r="D28" s="14"/>
      <c r="E28" s="14"/>
      <c r="F28" s="14"/>
      <c r="G28" s="15"/>
    </row>
    <row r="29" spans="1:12" ht="24" customHeight="1" x14ac:dyDescent="0.25">
      <c r="A29" s="3" t="s">
        <v>46</v>
      </c>
      <c r="B29" s="3" t="s">
        <v>47</v>
      </c>
      <c r="C29" s="3" t="s">
        <v>49</v>
      </c>
      <c r="D29" s="3" t="s">
        <v>46</v>
      </c>
      <c r="E29" s="3" t="s">
        <v>47</v>
      </c>
      <c r="F29" s="3" t="s">
        <v>49</v>
      </c>
      <c r="G29" s="3" t="s">
        <v>46</v>
      </c>
      <c r="H29" s="3" t="s">
        <v>47</v>
      </c>
      <c r="I29" s="3" t="s">
        <v>49</v>
      </c>
      <c r="J29" s="3" t="s">
        <v>46</v>
      </c>
      <c r="K29" s="3" t="s">
        <v>47</v>
      </c>
      <c r="L29" s="3" t="s">
        <v>49</v>
      </c>
    </row>
    <row r="30" spans="1:12" x14ac:dyDescent="0.25">
      <c r="A30" s="5">
        <v>40</v>
      </c>
      <c r="B30" s="6">
        <f>(40/40*100)</f>
        <v>100</v>
      </c>
      <c r="C30" s="6">
        <f>(B30*60/100)</f>
        <v>60</v>
      </c>
      <c r="D30" s="5">
        <v>30</v>
      </c>
      <c r="E30" s="6">
        <f>(30/40*100)</f>
        <v>75</v>
      </c>
      <c r="F30" s="6">
        <f>(E30*60/100)</f>
        <v>45</v>
      </c>
      <c r="G30" s="5">
        <v>20</v>
      </c>
      <c r="H30" s="6">
        <f>(20/40*100)</f>
        <v>50</v>
      </c>
      <c r="I30" s="6">
        <f>(H30*60/100)</f>
        <v>30</v>
      </c>
      <c r="J30" s="5">
        <v>10</v>
      </c>
      <c r="K30" s="6">
        <f>(10/40*100)</f>
        <v>25</v>
      </c>
      <c r="L30" s="6">
        <f>(K30*60/100)</f>
        <v>15</v>
      </c>
    </row>
    <row r="31" spans="1:12" x14ac:dyDescent="0.25">
      <c r="A31" s="5">
        <v>39</v>
      </c>
      <c r="B31" s="6">
        <f>(39/40*100)</f>
        <v>97.5</v>
      </c>
      <c r="C31" s="6">
        <f t="shared" ref="C31:C39" si="0">(B31*60/100)</f>
        <v>58.5</v>
      </c>
      <c r="D31" s="5">
        <v>29</v>
      </c>
      <c r="E31" s="6">
        <f>(29/40*100)</f>
        <v>72.5</v>
      </c>
      <c r="F31" s="6">
        <f t="shared" ref="F31:F39" si="1">(E31*60/100)</f>
        <v>43.5</v>
      </c>
      <c r="G31" s="5">
        <v>19</v>
      </c>
      <c r="H31" s="6">
        <f>(19/40*100)</f>
        <v>47.5</v>
      </c>
      <c r="I31" s="6">
        <f t="shared" ref="I31:I39" si="2">(H31*60/100)</f>
        <v>28.5</v>
      </c>
      <c r="J31" s="5">
        <v>9</v>
      </c>
      <c r="K31" s="6">
        <f>(9/40*100)</f>
        <v>22.5</v>
      </c>
      <c r="L31" s="6">
        <f t="shared" ref="L31:L39" si="3">(K31*60/100)</f>
        <v>13.5</v>
      </c>
    </row>
    <row r="32" spans="1:12" x14ac:dyDescent="0.25">
      <c r="A32" s="5">
        <v>38</v>
      </c>
      <c r="B32" s="6">
        <f>(38/40*100)</f>
        <v>95</v>
      </c>
      <c r="C32" s="6">
        <f t="shared" si="0"/>
        <v>57</v>
      </c>
      <c r="D32" s="5">
        <v>28</v>
      </c>
      <c r="E32" s="6">
        <f>(28/40*100)</f>
        <v>70</v>
      </c>
      <c r="F32" s="6">
        <f t="shared" si="1"/>
        <v>42</v>
      </c>
      <c r="G32" s="5">
        <v>18</v>
      </c>
      <c r="H32" s="6">
        <f>(18/40*100)</f>
        <v>45</v>
      </c>
      <c r="I32" s="6">
        <f t="shared" si="2"/>
        <v>27</v>
      </c>
      <c r="J32" s="5">
        <v>8</v>
      </c>
      <c r="K32" s="6">
        <f>(8/40*100)</f>
        <v>20</v>
      </c>
      <c r="L32" s="6">
        <f t="shared" si="3"/>
        <v>12</v>
      </c>
    </row>
    <row r="33" spans="1:12" x14ac:dyDescent="0.25">
      <c r="A33" s="5">
        <v>37</v>
      </c>
      <c r="B33" s="6">
        <f>(37/40*100)</f>
        <v>92.5</v>
      </c>
      <c r="C33" s="6">
        <f t="shared" si="0"/>
        <v>55.5</v>
      </c>
      <c r="D33" s="5">
        <v>27</v>
      </c>
      <c r="E33" s="6">
        <f>(27/40*100)</f>
        <v>67.5</v>
      </c>
      <c r="F33" s="6">
        <f t="shared" si="1"/>
        <v>40.5</v>
      </c>
      <c r="G33" s="5">
        <v>17</v>
      </c>
      <c r="H33" s="6">
        <f>(17/40*100)</f>
        <v>42.5</v>
      </c>
      <c r="I33" s="6">
        <f t="shared" si="2"/>
        <v>25.5</v>
      </c>
      <c r="J33" s="5">
        <v>7</v>
      </c>
      <c r="K33" s="6">
        <f>(7/40*100)</f>
        <v>17.5</v>
      </c>
      <c r="L33" s="6">
        <f t="shared" si="3"/>
        <v>10.5</v>
      </c>
    </row>
    <row r="34" spans="1:12" x14ac:dyDescent="0.25">
      <c r="A34" s="5">
        <v>36</v>
      </c>
      <c r="B34" s="6">
        <f>(36/40*100)</f>
        <v>90</v>
      </c>
      <c r="C34" s="6">
        <f t="shared" si="0"/>
        <v>54</v>
      </c>
      <c r="D34" s="5">
        <v>26</v>
      </c>
      <c r="E34" s="6">
        <f>(26/40*100)</f>
        <v>65</v>
      </c>
      <c r="F34" s="6">
        <f t="shared" si="1"/>
        <v>39</v>
      </c>
      <c r="G34" s="5">
        <v>16</v>
      </c>
      <c r="H34" s="6">
        <f>(16/40*100)</f>
        <v>40</v>
      </c>
      <c r="I34" s="6">
        <f t="shared" si="2"/>
        <v>24</v>
      </c>
      <c r="J34" s="5">
        <v>6</v>
      </c>
      <c r="K34" s="6">
        <f>(6/40*100)</f>
        <v>15</v>
      </c>
      <c r="L34" s="6">
        <f t="shared" si="3"/>
        <v>9</v>
      </c>
    </row>
    <row r="35" spans="1:12" x14ac:dyDescent="0.25">
      <c r="A35" s="5">
        <v>35</v>
      </c>
      <c r="B35" s="6">
        <f>(35/40*100)</f>
        <v>87.5</v>
      </c>
      <c r="C35" s="6">
        <f t="shared" si="0"/>
        <v>52.5</v>
      </c>
      <c r="D35" s="5">
        <v>25</v>
      </c>
      <c r="E35" s="6">
        <f>(25/40*100)</f>
        <v>62.5</v>
      </c>
      <c r="F35" s="6">
        <f t="shared" si="1"/>
        <v>37.5</v>
      </c>
      <c r="G35" s="5">
        <v>15</v>
      </c>
      <c r="H35" s="6">
        <f>(15/40*100)</f>
        <v>37.5</v>
      </c>
      <c r="I35" s="6">
        <f t="shared" si="2"/>
        <v>22.5</v>
      </c>
      <c r="J35" s="5">
        <v>5</v>
      </c>
      <c r="K35" s="6">
        <f>(5/40*100)</f>
        <v>12.5</v>
      </c>
      <c r="L35" s="6">
        <f t="shared" si="3"/>
        <v>7.5</v>
      </c>
    </row>
    <row r="36" spans="1:12" x14ac:dyDescent="0.25">
      <c r="A36" s="5">
        <v>34</v>
      </c>
      <c r="B36" s="6">
        <f>(34/40*100)</f>
        <v>85</v>
      </c>
      <c r="C36" s="6">
        <f t="shared" si="0"/>
        <v>51</v>
      </c>
      <c r="D36" s="5">
        <v>24</v>
      </c>
      <c r="E36" s="6">
        <f>(24/40*100)</f>
        <v>60</v>
      </c>
      <c r="F36" s="6">
        <f t="shared" si="1"/>
        <v>36</v>
      </c>
      <c r="G36" s="5">
        <v>14</v>
      </c>
      <c r="H36" s="6">
        <f>(14/40*100)</f>
        <v>35</v>
      </c>
      <c r="I36" s="6">
        <f t="shared" si="2"/>
        <v>21</v>
      </c>
      <c r="J36" s="5">
        <v>4</v>
      </c>
      <c r="K36" s="6">
        <f>(4/40*100)</f>
        <v>10</v>
      </c>
      <c r="L36" s="6">
        <f t="shared" si="3"/>
        <v>6</v>
      </c>
    </row>
    <row r="37" spans="1:12" x14ac:dyDescent="0.25">
      <c r="A37" s="5">
        <v>33</v>
      </c>
      <c r="B37" s="6">
        <f>(33/40*100)</f>
        <v>82.5</v>
      </c>
      <c r="C37" s="6">
        <f t="shared" si="0"/>
        <v>49.5</v>
      </c>
      <c r="D37" s="5">
        <v>23</v>
      </c>
      <c r="E37" s="6">
        <f>(23/40*100)</f>
        <v>57.499999999999993</v>
      </c>
      <c r="F37" s="6">
        <f t="shared" si="1"/>
        <v>34.499999999999993</v>
      </c>
      <c r="G37" s="5">
        <v>13</v>
      </c>
      <c r="H37" s="6">
        <f>(13/40*100)</f>
        <v>32.5</v>
      </c>
      <c r="I37" s="6">
        <f t="shared" si="2"/>
        <v>19.5</v>
      </c>
      <c r="J37" s="5">
        <v>3</v>
      </c>
      <c r="K37" s="6">
        <f>(3/40*100)</f>
        <v>7.5</v>
      </c>
      <c r="L37" s="6">
        <f t="shared" si="3"/>
        <v>4.5</v>
      </c>
    </row>
    <row r="38" spans="1:12" x14ac:dyDescent="0.25">
      <c r="A38" s="5">
        <v>32</v>
      </c>
      <c r="B38" s="6">
        <f>(32/40*100)</f>
        <v>80</v>
      </c>
      <c r="C38" s="6">
        <f t="shared" si="0"/>
        <v>48</v>
      </c>
      <c r="D38" s="5">
        <v>22</v>
      </c>
      <c r="E38" s="6">
        <f>(22/40*100)</f>
        <v>55.000000000000007</v>
      </c>
      <c r="F38" s="6">
        <f t="shared" si="1"/>
        <v>33.000000000000007</v>
      </c>
      <c r="G38" s="5">
        <v>12</v>
      </c>
      <c r="H38" s="6">
        <f>(12/40*100)</f>
        <v>30</v>
      </c>
      <c r="I38" s="6">
        <f t="shared" si="2"/>
        <v>18</v>
      </c>
      <c r="J38" s="5">
        <v>2</v>
      </c>
      <c r="K38" s="6">
        <f>(2/40*100)</f>
        <v>5</v>
      </c>
      <c r="L38" s="6">
        <f t="shared" si="3"/>
        <v>3</v>
      </c>
    </row>
    <row r="39" spans="1:12" x14ac:dyDescent="0.25">
      <c r="A39" s="5">
        <v>31</v>
      </c>
      <c r="B39" s="6">
        <f>(31/40*100)</f>
        <v>77.5</v>
      </c>
      <c r="C39" s="6">
        <f t="shared" si="0"/>
        <v>46.5</v>
      </c>
      <c r="D39" s="5">
        <v>21</v>
      </c>
      <c r="E39" s="6">
        <f>(21/40*100)</f>
        <v>52.5</v>
      </c>
      <c r="F39" s="6">
        <f t="shared" si="1"/>
        <v>31.5</v>
      </c>
      <c r="G39" s="5">
        <v>11</v>
      </c>
      <c r="H39" s="6">
        <f>(11/40*100)</f>
        <v>27.500000000000004</v>
      </c>
      <c r="I39" s="6">
        <f t="shared" si="2"/>
        <v>16.500000000000004</v>
      </c>
      <c r="J39" s="5">
        <v>1</v>
      </c>
      <c r="K39" s="6">
        <f>(1/40*100)</f>
        <v>2.5</v>
      </c>
      <c r="L39" s="6">
        <f t="shared" si="3"/>
        <v>1.5</v>
      </c>
    </row>
    <row r="40" spans="1:12" ht="9.75" customHeight="1" x14ac:dyDescent="0.25">
      <c r="A40" s="2"/>
      <c r="B40" s="2"/>
      <c r="C40" s="2"/>
      <c r="D40" s="2"/>
      <c r="E40" s="2"/>
      <c r="F40" s="2"/>
      <c r="G40" s="2"/>
      <c r="H40" s="2"/>
    </row>
    <row r="41" spans="1:12" ht="18.75" x14ac:dyDescent="0.3">
      <c r="A41" s="45" t="s">
        <v>55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</row>
    <row r="42" spans="1:12" ht="18.75" x14ac:dyDescent="0.3">
      <c r="A42" s="46" t="s">
        <v>56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spans="1:12" ht="15.7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spans="1:12" ht="15" customHeight="1" x14ac:dyDescent="0.25">
      <c r="A44" s="44" t="s">
        <v>70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</row>
    <row r="45" spans="1:12" ht="24" x14ac:dyDescent="0.25">
      <c r="A45" s="4" t="s">
        <v>0</v>
      </c>
      <c r="B45" s="19" t="s">
        <v>50</v>
      </c>
      <c r="C45" s="19" t="s">
        <v>51</v>
      </c>
      <c r="D45" s="19" t="s">
        <v>71</v>
      </c>
      <c r="E45" s="19" t="s">
        <v>52</v>
      </c>
    </row>
    <row r="46" spans="1:12" ht="15.75" x14ac:dyDescent="0.25">
      <c r="A46" s="8" t="s">
        <v>2</v>
      </c>
      <c r="B46" s="10">
        <v>6</v>
      </c>
      <c r="C46" s="10">
        <v>25</v>
      </c>
      <c r="D46" s="10">
        <v>0</v>
      </c>
      <c r="E46" s="11">
        <f>(D46/B46*C46)</f>
        <v>0</v>
      </c>
      <c r="G46" s="39" t="s">
        <v>59</v>
      </c>
      <c r="H46" s="39"/>
      <c r="I46" s="13" t="s">
        <v>57</v>
      </c>
      <c r="J46" s="13"/>
      <c r="K46" s="39" t="s">
        <v>61</v>
      </c>
      <c r="L46" s="14"/>
    </row>
    <row r="47" spans="1:12" ht="15.75" x14ac:dyDescent="0.25">
      <c r="A47" s="8" t="s">
        <v>3</v>
      </c>
      <c r="B47" s="10">
        <v>6</v>
      </c>
      <c r="C47" s="10">
        <v>20</v>
      </c>
      <c r="D47" s="10">
        <v>0</v>
      </c>
      <c r="E47" s="11">
        <f t="shared" ref="E47:E50" si="4">(D47/B47*C47)</f>
        <v>0</v>
      </c>
      <c r="G47" s="39"/>
      <c r="H47" s="39"/>
      <c r="I47" s="14" t="s">
        <v>58</v>
      </c>
      <c r="J47" s="14"/>
      <c r="K47" s="39"/>
      <c r="L47" s="14"/>
    </row>
    <row r="48" spans="1:12" ht="15.75" x14ac:dyDescent="0.25">
      <c r="A48" s="8" t="s">
        <v>4</v>
      </c>
      <c r="B48" s="10">
        <v>4</v>
      </c>
      <c r="C48" s="10">
        <v>15</v>
      </c>
      <c r="D48" s="10">
        <v>0</v>
      </c>
      <c r="E48" s="11">
        <f t="shared" si="4"/>
        <v>0</v>
      </c>
    </row>
    <row r="49" spans="1:12" ht="15.75" x14ac:dyDescent="0.25">
      <c r="A49" s="8" t="s">
        <v>5</v>
      </c>
      <c r="B49" s="10">
        <v>6</v>
      </c>
      <c r="C49" s="10">
        <v>25</v>
      </c>
      <c r="D49" s="10">
        <v>0</v>
      </c>
      <c r="E49" s="11">
        <f t="shared" si="4"/>
        <v>0</v>
      </c>
      <c r="G49" s="14" t="s">
        <v>60</v>
      </c>
      <c r="H49" s="14"/>
      <c r="I49" s="14"/>
      <c r="J49" s="17" t="s">
        <v>62</v>
      </c>
      <c r="K49" s="17"/>
      <c r="L49" s="17"/>
    </row>
    <row r="50" spans="1:12" ht="15.75" x14ac:dyDescent="0.25">
      <c r="A50" s="8" t="s">
        <v>6</v>
      </c>
      <c r="B50" s="10">
        <v>4</v>
      </c>
      <c r="C50" s="10">
        <v>15</v>
      </c>
      <c r="D50" s="10">
        <v>0</v>
      </c>
      <c r="E50" s="11">
        <f t="shared" si="4"/>
        <v>0</v>
      </c>
    </row>
    <row r="51" spans="1:12" ht="15.75" x14ac:dyDescent="0.25">
      <c r="A51" s="41" t="s">
        <v>53</v>
      </c>
      <c r="B51" s="42"/>
      <c r="C51" s="42"/>
      <c r="D51" s="42"/>
      <c r="E51" s="43"/>
    </row>
    <row r="52" spans="1:12" ht="15.75" x14ac:dyDescent="0.25">
      <c r="A52" s="9"/>
      <c r="B52" s="11">
        <f>SUM(B46:B51)</f>
        <v>26</v>
      </c>
      <c r="C52" s="11">
        <f>SUM(C46:C51)</f>
        <v>100</v>
      </c>
      <c r="D52" s="11">
        <f>SUM(D46:D51)</f>
        <v>0</v>
      </c>
      <c r="E52" s="11">
        <f>SUM(E46:E51)</f>
        <v>0</v>
      </c>
    </row>
    <row r="53" spans="1:12" x14ac:dyDescent="0.25">
      <c r="A53" s="27" t="s">
        <v>72</v>
      </c>
    </row>
    <row r="54" spans="1:12" ht="6.75" customHeight="1" thickBot="1" x14ac:dyDescent="0.3">
      <c r="A54" s="28"/>
    </row>
    <row r="55" spans="1:12" ht="23.25" thickBot="1" x14ac:dyDescent="0.3">
      <c r="A55" s="37" t="s">
        <v>54</v>
      </c>
      <c r="B55" s="37"/>
      <c r="C55" s="37"/>
      <c r="D55" s="38"/>
      <c r="E55" s="12">
        <f>(E52*40/100)</f>
        <v>0</v>
      </c>
    </row>
    <row r="56" spans="1:12" ht="9" customHeight="1" thickBot="1" x14ac:dyDescent="0.3"/>
    <row r="57" spans="1:12" ht="19.5" thickBot="1" x14ac:dyDescent="0.35">
      <c r="A57" s="31" t="s">
        <v>63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3"/>
    </row>
  </sheetData>
  <mergeCells count="25">
    <mergeCell ref="A1:K1"/>
    <mergeCell ref="A2:K2"/>
    <mergeCell ref="A51:E51"/>
    <mergeCell ref="A44:K44"/>
    <mergeCell ref="A3:K3"/>
    <mergeCell ref="A4:K4"/>
    <mergeCell ref="A9:K9"/>
    <mergeCell ref="A41:L41"/>
    <mergeCell ref="A42:L42"/>
    <mergeCell ref="A23:H23"/>
    <mergeCell ref="D25:D26"/>
    <mergeCell ref="A24:H24"/>
    <mergeCell ref="A57:L57"/>
    <mergeCell ref="A6:B6"/>
    <mergeCell ref="C6:D6"/>
    <mergeCell ref="E6:F6"/>
    <mergeCell ref="A8:B8"/>
    <mergeCell ref="C8:D8"/>
    <mergeCell ref="E8:F8"/>
    <mergeCell ref="A7:B7"/>
    <mergeCell ref="C7:D7"/>
    <mergeCell ref="E7:F7"/>
    <mergeCell ref="A55:D55"/>
    <mergeCell ref="K46:K47"/>
    <mergeCell ref="G46:H47"/>
  </mergeCells>
  <pageMargins left="0.51181102362204722" right="0.19685039370078741" top="0.35433070866141736" bottom="0.15748031496062992" header="0.31496062992125984" footer="0.31496062992125984"/>
  <pageSetup paperSize="9" scale="90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Website Edukasi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www.websiteedukasi.com</dc:creator>
  <dc:description>File By Websiteedukasi.com</dc:description>
  <cp:lastModifiedBy>123</cp:lastModifiedBy>
  <cp:lastPrinted>2020-02-25T03:59:50Z</cp:lastPrinted>
  <dcterms:created xsi:type="dcterms:W3CDTF">2017-03-10T03:59:55Z</dcterms:created>
  <dcterms:modified xsi:type="dcterms:W3CDTF">2026-04-26T09:38:03Z</dcterms:modified>
</cp:coreProperties>
</file>